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Inputs" sheetId="2" state="visible" r:id="rId2"/>
    <sheet name="Underwriting" sheetId="3" state="visible" r:id="rId3"/>
    <sheet name="Returns" sheetId="4" state="visible" r:id="rId4"/>
    <sheet name="Sensitiv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_($* #,##0_);_($* (#,##0);_($* &quot;-&quot;_);_(@_)"/>
    <numFmt numFmtId="165" formatCode="0.0%"/>
    <numFmt numFmtId="166" formatCode="0.00&quot;x&quot;"/>
    <numFmt numFmtId="167" formatCode="+0%;-0%"/>
  </numFmts>
  <fonts count="13">
    <font>
      <name val="Calibri"/>
      <family val="2"/>
      <color theme="1"/>
      <sz val="11"/>
      <scheme val="minor"/>
    </font>
    <font>
      <name val="Calibri"/>
      <b val="1"/>
      <color rgb="000B2545"/>
      <sz val="22"/>
    </font>
    <font>
      <i val="1"/>
      <color rgb="0013315C"/>
      <sz val="13"/>
    </font>
    <font>
      <b val="1"/>
      <color rgb="00B68D40"/>
      <sz val="13"/>
    </font>
    <font>
      <color rgb="00333333"/>
      <sz val="10"/>
    </font>
    <font>
      <b val="1"/>
      <color rgb="000B2545"/>
      <sz val="11"/>
    </font>
    <font>
      <name val="Calibri"/>
      <i val="1"/>
      <color rgb="00666666"/>
      <sz val="9"/>
    </font>
    <font>
      <name val="Calibri"/>
      <b val="1"/>
      <color rgb="00FFFFFF"/>
      <sz val="16"/>
    </font>
    <font>
      <name val="Calibri"/>
      <b val="1"/>
      <color rgb="00B68D40"/>
      <sz val="11"/>
    </font>
    <font>
      <name val="Calibri"/>
      <b val="1"/>
      <sz val="11"/>
    </font>
    <font>
      <b val="1"/>
      <color rgb="000B2545"/>
    </font>
    <font>
      <name val="Calibri"/>
      <sz val="11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0B2545"/>
      </patternFill>
    </fill>
    <fill>
      <patternFill patternType="solid">
        <fgColor rgb="00B68D40"/>
      </patternFill>
    </fill>
    <fill>
      <patternFill patternType="solid">
        <fgColor rgb="00EEF2F6"/>
      </patternFill>
    </fill>
    <fill>
      <patternFill patternType="solid">
        <fgColor rgb="0013315C"/>
      </patternFill>
    </fill>
  </fills>
  <borders count="2">
    <border>
      <left/>
      <right/>
      <top/>
      <bottom/>
      <diagonal/>
    </border>
    <border>
      <left style="thin">
        <color rgb="00C9D2DC"/>
      </left>
      <right style="thin">
        <color rgb="00C9D2DC"/>
      </right>
      <top style="thin">
        <color rgb="00C9D2DC"/>
      </top>
      <bottom style="thin">
        <color rgb="00C9D2DC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0" applyAlignment="1" pivotButton="0" quotePrefix="0" xfId="0">
      <alignment horizontal="left" vertical="center" indent="1"/>
    </xf>
    <xf numFmtId="0" fontId="8" fillId="0" borderId="0" pivotButton="0" quotePrefix="0" xfId="0"/>
    <xf numFmtId="0" fontId="9" fillId="0" borderId="1" pivotButton="0" quotePrefix="0" xfId="0"/>
    <xf numFmtId="164" fontId="10" fillId="3" borderId="1" applyAlignment="1" pivotButton="0" quotePrefix="0" xfId="0">
      <alignment horizontal="right"/>
    </xf>
    <xf numFmtId="0" fontId="6" fillId="0" borderId="1" pivotButton="0" quotePrefix="0" xfId="0"/>
    <xf numFmtId="165" fontId="10" fillId="3" borderId="1" applyAlignment="1" pivotButton="0" quotePrefix="0" xfId="0">
      <alignment horizontal="right"/>
    </xf>
    <xf numFmtId="3" fontId="10" fillId="3" borderId="1" applyAlignment="1" pivotButton="0" quotePrefix="0" xfId="0">
      <alignment horizontal="right"/>
    </xf>
    <xf numFmtId="0" fontId="11" fillId="0" borderId="1" pivotButton="0" quotePrefix="0" xfId="0"/>
    <xf numFmtId="164" fontId="11" fillId="0" borderId="1" applyAlignment="1" pivotButton="0" quotePrefix="0" xfId="0">
      <alignment horizontal="right"/>
    </xf>
    <xf numFmtId="0" fontId="9" fillId="4" borderId="1" pivotButton="0" quotePrefix="0" xfId="0"/>
    <xf numFmtId="164" fontId="9" fillId="4" borderId="1" applyAlignment="1" pivotButton="0" quotePrefix="0" xfId="0">
      <alignment horizontal="right"/>
    </xf>
    <xf numFmtId="164" fontId="9" fillId="0" borderId="1" applyAlignment="1" pivotButton="0" quotePrefix="0" xfId="0">
      <alignment horizontal="right"/>
    </xf>
    <xf numFmtId="165" fontId="9" fillId="4" borderId="1" applyAlignment="1" pivotButton="0" quotePrefix="0" xfId="0">
      <alignment horizontal="right"/>
    </xf>
    <xf numFmtId="166" fontId="9" fillId="4" borderId="1" applyAlignment="1" pivotButton="0" quotePrefix="0" xfId="0">
      <alignment horizontal="right"/>
    </xf>
    <xf numFmtId="0" fontId="11" fillId="0" borderId="1" applyAlignment="1" pivotButton="0" quotePrefix="0" xfId="0">
      <alignment horizontal="right"/>
    </xf>
    <xf numFmtId="0" fontId="9" fillId="5" borderId="1" pivotButton="0" quotePrefix="0" xfId="0"/>
    <xf numFmtId="167" fontId="12" fillId="5" borderId="1" applyAlignment="1" pivotButton="0" quotePrefix="0" xfId="0">
      <alignment horizontal="center"/>
    </xf>
    <xf numFmtId="164" fontId="0" fillId="0" borderId="1" applyAlignment="1" pivotButton="0" quotePrefix="0" xfId="0">
      <alignment horizontal="right"/>
    </xf>
    <xf numFmtId="164" fontId="9" fillId="3" borderId="1" applyAlignment="1" pivotButton="0" quotePrefix="0" xfId="0">
      <alignment horizontal="right"/>
    </xf>
    <xf numFmtId="165" fontId="0" fillId="0" borderId="1" applyAlignment="1" pivotButton="0" quotePrefix="0" xfId="0">
      <alignment horizontal="right"/>
    </xf>
    <xf numFmtId="165" fontId="9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70" customWidth="1" min="2" max="2"/>
  </cols>
  <sheetData>
    <row r="1" ht="18" customHeight="1"/>
    <row r="2" ht="18" customHeight="1">
      <c r="B2" s="1" t="inlineStr">
        <is>
          <t>BREAKWATER CAPITAL PARTNERS</t>
        </is>
      </c>
    </row>
    <row r="3" ht="18" customHeight="1"/>
    <row r="4" ht="18" customHeight="1"/>
    <row r="5" ht="18" customHeight="1">
      <c r="B5" s="2" t="inlineStr">
        <is>
          <t>Special Situations Development Platform</t>
        </is>
      </c>
    </row>
    <row r="6" ht="18" customHeight="1">
      <c r="B6" s="3" t="inlineStr">
        <is>
          <t>Single-Asset Underwriting Model</t>
        </is>
      </c>
    </row>
    <row r="7" ht="18" customHeight="1"/>
    <row r="8" ht="18" customHeight="1">
      <c r="B8" s="4" t="inlineStr"/>
    </row>
    <row r="9" ht="18" customHeight="1">
      <c r="B9" s="5" t="inlineStr">
        <is>
          <t>PURPOSE</t>
        </is>
      </c>
    </row>
    <row r="10" ht="18" customHeight="1">
      <c r="B10" s="4" t="inlineStr">
        <is>
          <t>Underwrites one distressed luxury-residential completion opportunity from</t>
        </is>
      </c>
    </row>
    <row r="11" ht="18" customHeight="1">
      <c r="B11" s="4" t="inlineStr">
        <is>
          <t>distressed basis to exit. Solve for the completion spread, the equity check,</t>
        </is>
      </c>
    </row>
    <row r="12" ht="18" customHeight="1">
      <c r="B12" s="4" t="inlineStr">
        <is>
          <t>project IRR, and the partner-level waterfall — then stress-test the result.</t>
        </is>
      </c>
    </row>
    <row r="13" ht="18" customHeight="1">
      <c r="B13" s="4" t="inlineStr"/>
    </row>
    <row r="14" ht="18" customHeight="1">
      <c r="B14" s="5" t="inlineStr">
        <is>
          <t>HOW TO USE</t>
        </is>
      </c>
    </row>
    <row r="15" ht="18" customHeight="1">
      <c r="B15" s="4" t="inlineStr">
        <is>
          <t>1.  Edit only the yellow cells on the INPUTS tab.</t>
        </is>
      </c>
    </row>
    <row r="16" ht="18" customHeight="1">
      <c r="B16" s="4" t="inlineStr">
        <is>
          <t>2.  UNDERWRITING, RETURNS, and SENSITIVITY recalculate automatically.</t>
        </is>
      </c>
    </row>
    <row r="17" ht="18" customHeight="1">
      <c r="B17" s="4" t="inlineStr">
        <is>
          <t>3.  Confirm the deal clears the thresholds (see methodology doc).</t>
        </is>
      </c>
    </row>
    <row r="18" ht="18" customHeight="1">
      <c r="B18" s="4" t="inlineStr"/>
    </row>
    <row r="19" ht="18" customHeight="1">
      <c r="B19" s="5" t="inlineStr">
        <is>
          <t>DECISION THRESHOLDS (must all hold to proceed)</t>
        </is>
      </c>
    </row>
    <row r="20" ht="18" customHeight="1">
      <c r="B20" s="4" t="inlineStr">
        <is>
          <t xml:space="preserve">   •  Completion spread  ≥ 20% base / target 25%+</t>
        </is>
      </c>
    </row>
    <row r="21" ht="18" customHeight="1">
      <c r="B21" s="4" t="inlineStr">
        <is>
          <t xml:space="preserve">   •  Downside case does NOT lose capital</t>
        </is>
      </c>
    </row>
    <row r="22" ht="18" customHeight="1">
      <c r="B22" s="4" t="inlineStr">
        <is>
          <t xml:space="preserve">   •  Project gross IRR  ≥ 20%   ·   Equity multiple ≥ 1.35x</t>
        </is>
      </c>
    </row>
    <row r="23" ht="18" customHeight="1">
      <c r="B23" s="4" t="inlineStr">
        <is>
          <t xml:space="preserve">   •  Contingency carried ≥ 10%</t>
        </is>
      </c>
    </row>
    <row r="24" ht="18" customHeight="1">
      <c r="B24" s="4" t="inlineStr"/>
    </row>
    <row r="25" ht="18" customHeight="1">
      <c r="B25" s="6" t="inlineStr">
        <is>
          <t>Worked example loaded: illustrative Rio Vista / Las Olas waterfront spec home.</t>
        </is>
      </c>
    </row>
    <row r="26" ht="18" customHeight="1"/>
    <row r="27" ht="18" customHeight="1">
      <c r="B27" s="6" t="inlineStr">
        <is>
          <t>Illustrative only. Not investment advice; not a guarantee of results.</t>
        </is>
      </c>
    </row>
    <row r="28" ht="18" customHeight="1"/>
    <row r="29" ht="18" customHeight="1"/>
  </sheetData>
  <mergeCells count="1">
    <mergeCell ref="B2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40" customWidth="1" min="3" max="3"/>
  </cols>
  <sheetData>
    <row r="1" ht="30" customHeight="1">
      <c r="A1" s="7" t="inlineStr">
        <is>
          <t>INPUTS  —  edit the yellow cells only</t>
        </is>
      </c>
    </row>
    <row r="2">
      <c r="C2" s="8" t="inlineStr">
        <is>
          <t>Source / discipline</t>
        </is>
      </c>
    </row>
    <row r="4">
      <c r="A4" s="9" t="inlineStr">
        <is>
          <t>Finished (exit) value</t>
        </is>
      </c>
      <c r="B4" s="10" t="n">
        <v>7500000</v>
      </c>
      <c r="C4" s="11" t="inlineStr">
        <is>
          <t>≥3 finished comps; brokerage-validated; time haircut</t>
        </is>
      </c>
    </row>
    <row r="5">
      <c r="A5" s="9" t="inlineStr">
        <is>
          <t>Acquisition cost (control)</t>
        </is>
      </c>
      <c r="B5" s="10" t="n">
        <v>3700000</v>
      </c>
      <c r="C5" s="11" t="inlineStr">
        <is>
          <t>Solved from screen + max-basis, not the ask</t>
        </is>
      </c>
    </row>
    <row r="6">
      <c r="A6" s="9" t="inlineStr">
        <is>
          <t>Acquisition closing %</t>
        </is>
      </c>
      <c r="B6" s="12" t="n">
        <v>0.02</v>
      </c>
      <c r="C6" s="11" t="inlineStr">
        <is>
          <t>Title, legal, transfer; in-house where possible</t>
        </is>
      </c>
    </row>
    <row r="7">
      <c r="A7" s="9" t="inlineStr">
        <is>
          <t>Cost to complete (hard+soft)</t>
        </is>
      </c>
      <c r="B7" s="10" t="n">
        <v>1400000</v>
      </c>
      <c r="C7" s="11" t="inlineStr">
        <is>
          <t>Independent estimate; scope-verified</t>
        </is>
      </c>
    </row>
    <row r="8">
      <c r="A8" s="9" t="inlineStr">
        <is>
          <t>Contingency %</t>
        </is>
      </c>
      <c r="B8" s="12" t="n">
        <v>0.12</v>
      </c>
      <c r="C8" s="11" t="inlineStr">
        <is>
          <t>10% base / 12–15% complex or stale budget</t>
        </is>
      </c>
    </row>
    <row r="9">
      <c r="A9" s="9" t="inlineStr">
        <is>
          <t>Hold period (months)</t>
        </is>
      </c>
      <c r="B9" s="13" t="n">
        <v>12</v>
      </c>
      <c r="C9" s="11" t="inlineStr">
        <is>
          <t>Construction + listing + closing lag; honest</t>
        </is>
      </c>
    </row>
    <row r="10">
      <c r="A10" s="9" t="inlineStr">
        <is>
          <t>Monthly carry</t>
        </is>
      </c>
      <c r="B10" s="10" t="n">
        <v>15000</v>
      </c>
      <c r="C10" s="11" t="inlineStr">
        <is>
          <t>Taxes + insurance + utilities/security + admin</t>
        </is>
      </c>
    </row>
    <row r="11">
      <c r="A11" s="9" t="inlineStr">
        <is>
          <t>Disposition cost %</t>
        </is>
      </c>
      <c r="B11" s="12" t="n">
        <v>0.05</v>
      </c>
      <c r="C11" s="11" t="inlineStr">
        <is>
          <t>Commission + closing + concessions</t>
        </is>
      </c>
    </row>
    <row r="12">
      <c r="A12" s="9" t="inlineStr">
        <is>
          <t>Loan amount (debt)</t>
        </is>
      </c>
      <c r="B12" s="10" t="n">
        <v>4800000</v>
      </c>
      <c r="C12" s="11" t="inlineStr">
        <is>
          <t>Per term sheet; preserve refi optionality</t>
        </is>
      </c>
    </row>
    <row r="13">
      <c r="A13" s="9" t="inlineStr">
        <is>
          <t>Loan rate (annual)</t>
        </is>
      </c>
      <c r="B13" s="12" t="n">
        <v>0.1</v>
      </c>
      <c r="C13" s="11" t="inlineStr">
        <is>
          <t>Acquisition / completion financing</t>
        </is>
      </c>
    </row>
    <row r="14">
      <c r="A14" s="9" t="inlineStr">
        <is>
          <t>Origination / fees %</t>
        </is>
      </c>
      <c r="B14" s="12" t="n">
        <v>0.015</v>
      </c>
      <c r="C14" s="11" t="inlineStr">
        <is>
          <t>Points + lender fees</t>
        </is>
      </c>
    </row>
    <row r="15">
      <c r="A15" s="9" t="inlineStr">
        <is>
          <t>Preferred return (annual)</t>
        </is>
      </c>
      <c r="B15" s="12" t="n">
        <v>0.09</v>
      </c>
      <c r="C15" s="11" t="inlineStr">
        <is>
          <t>Hurdle to capital partners before promote</t>
        </is>
      </c>
    </row>
    <row r="16">
      <c r="A16" s="9" t="inlineStr">
        <is>
          <t>Promote (GP share over pref)</t>
        </is>
      </c>
      <c r="B16" s="12" t="n">
        <v>0.2</v>
      </c>
      <c r="C16" s="11" t="inlineStr">
        <is>
          <t>GP share of residual profit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7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8" customWidth="1" min="2" max="2"/>
  </cols>
  <sheetData>
    <row r="1" ht="30" customHeight="1">
      <c r="A1" s="7" t="inlineStr">
        <is>
          <t>UNDERWRITING  —  all-in basis, spread &amp; project return</t>
        </is>
      </c>
    </row>
    <row r="3">
      <c r="A3" s="8" t="inlineStr">
        <is>
          <t>PROJECT COSTS (asset-level, unlevered)</t>
        </is>
      </c>
    </row>
    <row r="4">
      <c r="A4" s="14" t="inlineStr">
        <is>
          <t>Acquisition cost (control)</t>
        </is>
      </c>
      <c r="B4" s="15">
        <f>Inputs!$B$5</f>
        <v/>
      </c>
    </row>
    <row r="5">
      <c r="A5" s="14" t="inlineStr">
        <is>
          <t>Acquisition closing costs</t>
        </is>
      </c>
      <c r="B5" s="15">
        <f>Inputs!$B$5*Inputs!$B$6</f>
        <v/>
      </c>
    </row>
    <row r="6">
      <c r="A6" s="14" t="inlineStr">
        <is>
          <t>Cost to complete (hard+soft)</t>
        </is>
      </c>
      <c r="B6" s="15">
        <f>Inputs!$B$7</f>
        <v/>
      </c>
    </row>
    <row r="7">
      <c r="A7" s="14" t="inlineStr">
        <is>
          <t>Contingency</t>
        </is>
      </c>
      <c r="B7" s="15">
        <f>Inputs!$B$7*Inputs!$B$8</f>
        <v/>
      </c>
    </row>
    <row r="8">
      <c r="A8" s="14" t="inlineStr">
        <is>
          <t>Carry costs over hold</t>
        </is>
      </c>
      <c r="B8" s="15">
        <f>Inputs!$B$10*Inputs!$B$9</f>
        <v/>
      </c>
    </row>
    <row r="9">
      <c r="A9" s="14" t="inlineStr">
        <is>
          <t>Disposition costs</t>
        </is>
      </c>
      <c r="B9" s="15">
        <f>Inputs!$B$4*Inputs!$B$11</f>
        <v/>
      </c>
    </row>
    <row r="10">
      <c r="A10" s="16" t="inlineStr">
        <is>
          <t>ALL-IN BASIS (asset-level)</t>
        </is>
      </c>
      <c r="B10" s="17">
        <f>SUM(B4:B9)</f>
        <v/>
      </c>
    </row>
    <row r="12">
      <c r="A12" s="8" t="inlineStr">
        <is>
          <t>COMPLETION SPREAD</t>
        </is>
      </c>
    </row>
    <row r="13">
      <c r="A13" s="14" t="inlineStr">
        <is>
          <t>Finished (exit) value</t>
        </is>
      </c>
      <c r="B13" s="15">
        <f>Inputs!$B$4</f>
        <v/>
      </c>
    </row>
    <row r="14">
      <c r="A14" s="9" t="inlineStr">
        <is>
          <t>Completion spread ($)</t>
        </is>
      </c>
      <c r="B14" s="18">
        <f>Inputs!$B$4-B10</f>
        <v/>
      </c>
    </row>
    <row r="15">
      <c r="A15" s="16" t="inlineStr">
        <is>
          <t>Completion spread (%)</t>
        </is>
      </c>
      <c r="B15" s="19">
        <f>B14/B10</f>
        <v/>
      </c>
    </row>
    <row r="17">
      <c r="A17" s="8" t="inlineStr">
        <is>
          <t>FINANCING</t>
        </is>
      </c>
    </row>
    <row r="18">
      <c r="A18" s="14" t="inlineStr">
        <is>
          <t>Interest (IO over hold)</t>
        </is>
      </c>
      <c r="B18" s="15">
        <f>Inputs!$B$12*Inputs!$B$13*Inputs!$B$9/12</f>
        <v/>
      </c>
    </row>
    <row r="19">
      <c r="A19" s="14" t="inlineStr">
        <is>
          <t>Origination / fees</t>
        </is>
      </c>
      <c r="B19" s="15">
        <f>Inputs!$B$12*Inputs!$B$14</f>
        <v/>
      </c>
    </row>
    <row r="20">
      <c r="A20" s="9" t="inlineStr">
        <is>
          <t>Total financing cost</t>
        </is>
      </c>
      <c r="B20" s="18">
        <f>B18+B19</f>
        <v/>
      </c>
    </row>
    <row r="22">
      <c r="A22" s="8" t="inlineStr">
        <is>
          <t>SOURCES &amp; USES / EQUITY</t>
        </is>
      </c>
    </row>
    <row r="23">
      <c r="A23" s="14" t="inlineStr">
        <is>
          <t>Total uses (basis + financing)</t>
        </is>
      </c>
      <c r="B23" s="15">
        <f>B10+B20</f>
        <v/>
      </c>
    </row>
    <row r="24">
      <c r="A24" s="14" t="inlineStr">
        <is>
          <t>Less: loan (debt)</t>
        </is>
      </c>
      <c r="B24" s="15">
        <f>-Inputs!$B$12</f>
        <v/>
      </c>
    </row>
    <row r="25">
      <c r="A25" s="16" t="inlineStr">
        <is>
          <t>EQUITY REQUIRED</t>
        </is>
      </c>
      <c r="B25" s="17">
        <f>B23-Inputs!$B$12</f>
        <v/>
      </c>
    </row>
    <row r="27">
      <c r="A27" s="8" t="inlineStr">
        <is>
          <t>PROJECT RETURN (to equity)</t>
        </is>
      </c>
    </row>
    <row r="28">
      <c r="A28" s="14" t="inlineStr">
        <is>
          <t>Net sale proceeds (FV − disposition)</t>
        </is>
      </c>
      <c r="B28" s="15">
        <f>Inputs!$B$4-Inputs!$B$4*Inputs!$B$11</f>
        <v/>
      </c>
    </row>
    <row r="29">
      <c r="A29" s="14" t="inlineStr">
        <is>
          <t>Equity proceeds at exit (net − loan)</t>
        </is>
      </c>
      <c r="B29" s="15">
        <f>B28-Inputs!$B$12</f>
        <v/>
      </c>
    </row>
    <row r="30">
      <c r="A30" s="9" t="inlineStr">
        <is>
          <t>PROJECT PROFIT</t>
        </is>
      </c>
      <c r="B30" s="18">
        <f>B29-B25</f>
        <v/>
      </c>
    </row>
    <row r="31">
      <c r="A31" s="16" t="inlineStr">
        <is>
          <t>Equity multiple (gross)</t>
        </is>
      </c>
      <c r="B31" s="20">
        <f>B29/B25</f>
        <v/>
      </c>
    </row>
    <row r="32">
      <c r="A32" s="16" t="inlineStr">
        <is>
          <t>Annualized return (approx IRR)</t>
        </is>
      </c>
      <c r="B32" s="19">
        <f>(B29/B25)^(12/Inputs!$B$9)-1</f>
        <v/>
      </c>
    </row>
    <row r="34">
      <c r="A34" s="8" t="inlineStr">
        <is>
          <t>THRESHOLD CHECK</t>
        </is>
      </c>
    </row>
    <row r="35">
      <c r="A35" s="14" t="inlineStr">
        <is>
          <t>Spread ≥ 20% ?</t>
        </is>
      </c>
      <c r="B35" s="21">
        <f>IF(B15&gt;=0.2,"PASS","REVIEW")</f>
        <v/>
      </c>
    </row>
    <row r="36">
      <c r="A36" s="14" t="inlineStr">
        <is>
          <t>Equity multiple ≥ 1.35x ?</t>
        </is>
      </c>
      <c r="B36" s="21">
        <f>IF(B31&gt;=1.35,"PASS","REVIEW")</f>
        <v/>
      </c>
    </row>
    <row r="37">
      <c r="A37" s="14" t="inlineStr">
        <is>
          <t>IRR ≥ 20% ?</t>
        </is>
      </c>
      <c r="B37" s="21">
        <f>IF(B32&gt;=0.2,"PASS","REVIEW")</f>
        <v/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8" customWidth="1" min="2" max="2"/>
  </cols>
  <sheetData>
    <row r="1" ht="30" customHeight="1">
      <c r="A1" s="7" t="inlineStr">
        <is>
          <t>RETURNS  —  partner waterfall (deal-by-deal)</t>
        </is>
      </c>
    </row>
    <row r="3">
      <c r="A3" s="8" t="inlineStr">
        <is>
          <t>DISTRIBUTION WATERFALL</t>
        </is>
      </c>
    </row>
    <row r="4">
      <c r="A4" s="14" t="inlineStr">
        <is>
          <t>Invested equity (capital partners)</t>
        </is>
      </c>
      <c r="B4" s="15">
        <f>Underwriting!$B$25</f>
        <v/>
      </c>
    </row>
    <row r="5">
      <c r="A5" s="14" t="inlineStr">
        <is>
          <t>Total distributable (equity proceeds)</t>
        </is>
      </c>
      <c r="B5" s="15">
        <f>Underwriting!$B$29</f>
        <v/>
      </c>
    </row>
    <row r="6">
      <c r="A6" s="14" t="inlineStr">
        <is>
          <t>Preferred return accrued</t>
        </is>
      </c>
      <c r="B6" s="15">
        <f>Underwriting!$B$25*Inputs!$B$15*Inputs!$B$9/12</f>
        <v/>
      </c>
    </row>
    <row r="7">
      <c r="A7" s="14" t="inlineStr">
        <is>
          <t>Project profit</t>
        </is>
      </c>
      <c r="B7" s="15">
        <f>Underwriting!$B$30</f>
        <v/>
      </c>
    </row>
    <row r="9">
      <c r="A9" s="8" t="inlineStr">
        <is>
          <t>TIERED SPLIT</t>
        </is>
      </c>
    </row>
    <row r="10">
      <c r="A10" s="14" t="inlineStr">
        <is>
          <t>1. Return of capital → LP</t>
        </is>
      </c>
      <c r="B10" s="15">
        <f>MIN(B5,B4)</f>
        <v/>
      </c>
    </row>
    <row r="11">
      <c r="A11" s="14" t="inlineStr">
        <is>
          <t>2. Preferred return → LP</t>
        </is>
      </c>
      <c r="B11" s="15">
        <f>MIN(B7,B6)</f>
        <v/>
      </c>
    </row>
    <row r="12">
      <c r="A12" s="14" t="inlineStr">
        <is>
          <t xml:space="preserve">   Residual after pref</t>
        </is>
      </c>
      <c r="B12" s="15">
        <f>MAX(B7-B6,0)</f>
        <v/>
      </c>
    </row>
    <row r="13">
      <c r="A13" s="14" t="inlineStr">
        <is>
          <t>3. Promote → GP</t>
        </is>
      </c>
      <c r="B13" s="15">
        <f>B12*Inputs!$B$16</f>
        <v/>
      </c>
    </row>
    <row r="14">
      <c r="A14" s="14" t="inlineStr">
        <is>
          <t>4. Residual split → LP</t>
        </is>
      </c>
      <c r="B14" s="15">
        <f>B12*(1-Inputs!$B$16)</f>
        <v/>
      </c>
    </row>
    <row r="16">
      <c r="A16" s="8" t="inlineStr">
        <is>
          <t>PARTNER OUTCOMES</t>
        </is>
      </c>
    </row>
    <row r="17">
      <c r="A17" s="9" t="inlineStr">
        <is>
          <t>LP total distribution</t>
        </is>
      </c>
      <c r="B17" s="18">
        <f>B10+B11+B14</f>
        <v/>
      </c>
    </row>
    <row r="18">
      <c r="A18" s="9" t="inlineStr">
        <is>
          <t>LP profit</t>
        </is>
      </c>
      <c r="B18" s="18">
        <f>B11+B14</f>
        <v/>
      </c>
    </row>
    <row r="19">
      <c r="A19" s="16" t="inlineStr">
        <is>
          <t>LP equity multiple</t>
        </is>
      </c>
      <c r="B19" s="20">
        <f>B17/B4</f>
        <v/>
      </c>
    </row>
    <row r="20">
      <c r="A20" s="16" t="inlineStr">
        <is>
          <t>LP annualized return</t>
        </is>
      </c>
      <c r="B20" s="19">
        <f>(B17/B4)^(12/Inputs!$B$9)-1</f>
        <v/>
      </c>
    </row>
    <row r="21">
      <c r="A21" s="16" t="inlineStr">
        <is>
          <t>GP profit (promote)</t>
        </is>
      </c>
      <c r="B21" s="17">
        <f>B13</f>
        <v/>
      </c>
    </row>
    <row r="23">
      <c r="A23" s="6" t="inlineStr">
        <is>
          <t>GP also co-invests alongside LPs on every deal (not modeled here).</t>
        </is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30" customHeight="1">
      <c r="A1" s="7" t="inlineStr">
        <is>
          <t>SENSITIVITY  —  finished value × cost to complete</t>
        </is>
      </c>
    </row>
    <row r="3">
      <c r="A3" s="8" t="inlineStr">
        <is>
          <t>PROJECT PROFIT (asset-level)</t>
        </is>
      </c>
    </row>
    <row r="4">
      <c r="B4" s="6" t="inlineStr">
        <is>
          <t>Finished value →</t>
        </is>
      </c>
    </row>
    <row r="5">
      <c r="A5" s="22" t="inlineStr">
        <is>
          <t>Cost to complete ↓</t>
        </is>
      </c>
      <c r="B5" s="23" t="n">
        <v>-0.09999999999999998</v>
      </c>
      <c r="C5" s="23" t="n">
        <v>-0.05000000000000004</v>
      </c>
      <c r="D5" s="23" t="n">
        <v>0</v>
      </c>
      <c r="E5" s="23" t="n">
        <v>0.05000000000000004</v>
      </c>
      <c r="F5" s="23" t="n">
        <v>0.1000000000000001</v>
      </c>
    </row>
    <row r="6">
      <c r="A6" s="23" t="n">
        <v>-0.09999999999999998</v>
      </c>
      <c r="B6" s="24">
        <f>(Inputs!$B$4*0.9)-(Inputs!$B$5+Inputs!$B$5*Inputs!$B$6+(Inputs!$B$7*0.9)+(Inputs!$B$7*0.9)*Inputs!$B$8+Inputs!$B$10*Inputs!$B$9+(Inputs!$B$4*0.9)*Inputs!$B$11)-(Inputs!$B$12*Inputs!$B$13*Inputs!$B$9/12+Inputs!$B$12*Inputs!$B$14)</f>
        <v/>
      </c>
      <c r="C6" s="24">
        <f>(Inputs!$B$4*0.95)-(Inputs!$B$5+Inputs!$B$5*Inputs!$B$6+(Inputs!$B$7*0.9)+(Inputs!$B$7*0.9)*Inputs!$B$8+Inputs!$B$10*Inputs!$B$9+(Inputs!$B$4*0.95)*Inputs!$B$11)-(Inputs!$B$12*Inputs!$B$13*Inputs!$B$9/12+Inputs!$B$12*Inputs!$B$14)</f>
        <v/>
      </c>
      <c r="D6" s="24">
        <f>(Inputs!$B$4*1.0)-(Inputs!$B$5+Inputs!$B$5*Inputs!$B$6+(Inputs!$B$7*0.9)+(Inputs!$B$7*0.9)*Inputs!$B$8+Inputs!$B$10*Inputs!$B$9+(Inputs!$B$4*1.0)*Inputs!$B$11)-(Inputs!$B$12*Inputs!$B$13*Inputs!$B$9/12+Inputs!$B$12*Inputs!$B$14)</f>
        <v/>
      </c>
      <c r="E6" s="24">
        <f>(Inputs!$B$4*1.05)-(Inputs!$B$5+Inputs!$B$5*Inputs!$B$6+(Inputs!$B$7*0.9)+(Inputs!$B$7*0.9)*Inputs!$B$8+Inputs!$B$10*Inputs!$B$9+(Inputs!$B$4*1.05)*Inputs!$B$11)-(Inputs!$B$12*Inputs!$B$13*Inputs!$B$9/12+Inputs!$B$12*Inputs!$B$14)</f>
        <v/>
      </c>
      <c r="F6" s="24">
        <f>(Inputs!$B$4*1.1)-(Inputs!$B$5+Inputs!$B$5*Inputs!$B$6+(Inputs!$B$7*0.9)+(Inputs!$B$7*0.9)*Inputs!$B$8+Inputs!$B$10*Inputs!$B$9+(Inputs!$B$4*1.1)*Inputs!$B$11)-(Inputs!$B$12*Inputs!$B$13*Inputs!$B$9/12+Inputs!$B$12*Inputs!$B$14)</f>
        <v/>
      </c>
    </row>
    <row r="7">
      <c r="A7" s="23" t="n">
        <v>0</v>
      </c>
      <c r="B7" s="24">
        <f>(Inputs!$B$4*0.9)-(Inputs!$B$5+Inputs!$B$5*Inputs!$B$6+(Inputs!$B$7*1.0)+(Inputs!$B$7*1.0)*Inputs!$B$8+Inputs!$B$10*Inputs!$B$9+(Inputs!$B$4*0.9)*Inputs!$B$11)-(Inputs!$B$12*Inputs!$B$13*Inputs!$B$9/12+Inputs!$B$12*Inputs!$B$14)</f>
        <v/>
      </c>
      <c r="C7" s="24">
        <f>(Inputs!$B$4*0.95)-(Inputs!$B$5+Inputs!$B$5*Inputs!$B$6+(Inputs!$B$7*1.0)+(Inputs!$B$7*1.0)*Inputs!$B$8+Inputs!$B$10*Inputs!$B$9+(Inputs!$B$4*0.95)*Inputs!$B$11)-(Inputs!$B$12*Inputs!$B$13*Inputs!$B$9/12+Inputs!$B$12*Inputs!$B$14)</f>
        <v/>
      </c>
      <c r="D7" s="25">
        <f>(Inputs!$B$4*1.0)-(Inputs!$B$5+Inputs!$B$5*Inputs!$B$6+(Inputs!$B$7*1.0)+(Inputs!$B$7*1.0)*Inputs!$B$8+Inputs!$B$10*Inputs!$B$9+(Inputs!$B$4*1.0)*Inputs!$B$11)-(Inputs!$B$12*Inputs!$B$13*Inputs!$B$9/12+Inputs!$B$12*Inputs!$B$14)</f>
        <v/>
      </c>
      <c r="E7" s="24">
        <f>(Inputs!$B$4*1.05)-(Inputs!$B$5+Inputs!$B$5*Inputs!$B$6+(Inputs!$B$7*1.0)+(Inputs!$B$7*1.0)*Inputs!$B$8+Inputs!$B$10*Inputs!$B$9+(Inputs!$B$4*1.05)*Inputs!$B$11)-(Inputs!$B$12*Inputs!$B$13*Inputs!$B$9/12+Inputs!$B$12*Inputs!$B$14)</f>
        <v/>
      </c>
      <c r="F7" s="24">
        <f>(Inputs!$B$4*1.1)-(Inputs!$B$5+Inputs!$B$5*Inputs!$B$6+(Inputs!$B$7*1.0)+(Inputs!$B$7*1.0)*Inputs!$B$8+Inputs!$B$10*Inputs!$B$9+(Inputs!$B$4*1.1)*Inputs!$B$11)-(Inputs!$B$12*Inputs!$B$13*Inputs!$B$9/12+Inputs!$B$12*Inputs!$B$14)</f>
        <v/>
      </c>
    </row>
    <row r="8">
      <c r="A8" s="23" t="n">
        <v>0.1000000000000001</v>
      </c>
      <c r="B8" s="24">
        <f>(Inputs!$B$4*0.9)-(Inputs!$B$5+Inputs!$B$5*Inputs!$B$6+(Inputs!$B$7*1.1)+(Inputs!$B$7*1.1)*Inputs!$B$8+Inputs!$B$10*Inputs!$B$9+(Inputs!$B$4*0.9)*Inputs!$B$11)-(Inputs!$B$12*Inputs!$B$13*Inputs!$B$9/12+Inputs!$B$12*Inputs!$B$14)</f>
        <v/>
      </c>
      <c r="C8" s="24">
        <f>(Inputs!$B$4*0.95)-(Inputs!$B$5+Inputs!$B$5*Inputs!$B$6+(Inputs!$B$7*1.1)+(Inputs!$B$7*1.1)*Inputs!$B$8+Inputs!$B$10*Inputs!$B$9+(Inputs!$B$4*0.95)*Inputs!$B$11)-(Inputs!$B$12*Inputs!$B$13*Inputs!$B$9/12+Inputs!$B$12*Inputs!$B$14)</f>
        <v/>
      </c>
      <c r="D8" s="24">
        <f>(Inputs!$B$4*1.0)-(Inputs!$B$5+Inputs!$B$5*Inputs!$B$6+(Inputs!$B$7*1.1)+(Inputs!$B$7*1.1)*Inputs!$B$8+Inputs!$B$10*Inputs!$B$9+(Inputs!$B$4*1.0)*Inputs!$B$11)-(Inputs!$B$12*Inputs!$B$13*Inputs!$B$9/12+Inputs!$B$12*Inputs!$B$14)</f>
        <v/>
      </c>
      <c r="E8" s="24">
        <f>(Inputs!$B$4*1.05)-(Inputs!$B$5+Inputs!$B$5*Inputs!$B$6+(Inputs!$B$7*1.1)+(Inputs!$B$7*1.1)*Inputs!$B$8+Inputs!$B$10*Inputs!$B$9+(Inputs!$B$4*1.05)*Inputs!$B$11)-(Inputs!$B$12*Inputs!$B$13*Inputs!$B$9/12+Inputs!$B$12*Inputs!$B$14)</f>
        <v/>
      </c>
      <c r="F8" s="24">
        <f>(Inputs!$B$4*1.1)-(Inputs!$B$5+Inputs!$B$5*Inputs!$B$6+(Inputs!$B$7*1.1)+(Inputs!$B$7*1.1)*Inputs!$B$8+Inputs!$B$10*Inputs!$B$9+(Inputs!$B$4*1.1)*Inputs!$B$11)-(Inputs!$B$12*Inputs!$B$13*Inputs!$B$9/12+Inputs!$B$12*Inputs!$B$14)</f>
        <v/>
      </c>
    </row>
    <row r="9">
      <c r="A9" s="23" t="n">
        <v>0.2</v>
      </c>
      <c r="B9" s="24">
        <f>(Inputs!$B$4*0.9)-(Inputs!$B$5+Inputs!$B$5*Inputs!$B$6+(Inputs!$B$7*1.2)+(Inputs!$B$7*1.2)*Inputs!$B$8+Inputs!$B$10*Inputs!$B$9+(Inputs!$B$4*0.9)*Inputs!$B$11)-(Inputs!$B$12*Inputs!$B$13*Inputs!$B$9/12+Inputs!$B$12*Inputs!$B$14)</f>
        <v/>
      </c>
      <c r="C9" s="24">
        <f>(Inputs!$B$4*0.95)-(Inputs!$B$5+Inputs!$B$5*Inputs!$B$6+(Inputs!$B$7*1.2)+(Inputs!$B$7*1.2)*Inputs!$B$8+Inputs!$B$10*Inputs!$B$9+(Inputs!$B$4*0.95)*Inputs!$B$11)-(Inputs!$B$12*Inputs!$B$13*Inputs!$B$9/12+Inputs!$B$12*Inputs!$B$14)</f>
        <v/>
      </c>
      <c r="D9" s="24">
        <f>(Inputs!$B$4*1.0)-(Inputs!$B$5+Inputs!$B$5*Inputs!$B$6+(Inputs!$B$7*1.2)+(Inputs!$B$7*1.2)*Inputs!$B$8+Inputs!$B$10*Inputs!$B$9+(Inputs!$B$4*1.0)*Inputs!$B$11)-(Inputs!$B$12*Inputs!$B$13*Inputs!$B$9/12+Inputs!$B$12*Inputs!$B$14)</f>
        <v/>
      </c>
      <c r="E9" s="24">
        <f>(Inputs!$B$4*1.05)-(Inputs!$B$5+Inputs!$B$5*Inputs!$B$6+(Inputs!$B$7*1.2)+(Inputs!$B$7*1.2)*Inputs!$B$8+Inputs!$B$10*Inputs!$B$9+(Inputs!$B$4*1.05)*Inputs!$B$11)-(Inputs!$B$12*Inputs!$B$13*Inputs!$B$9/12+Inputs!$B$12*Inputs!$B$14)</f>
        <v/>
      </c>
      <c r="F9" s="24">
        <f>(Inputs!$B$4*1.1)-(Inputs!$B$5+Inputs!$B$5*Inputs!$B$6+(Inputs!$B$7*1.2)+(Inputs!$B$7*1.2)*Inputs!$B$8+Inputs!$B$10*Inputs!$B$9+(Inputs!$B$4*1.1)*Inputs!$B$11)-(Inputs!$B$12*Inputs!$B$13*Inputs!$B$9/12+Inputs!$B$12*Inputs!$B$14)</f>
        <v/>
      </c>
    </row>
    <row r="12">
      <c r="A12" s="8" t="inlineStr">
        <is>
          <t>COMPLETION SPREAD %</t>
        </is>
      </c>
    </row>
    <row r="13">
      <c r="B13" s="6" t="inlineStr">
        <is>
          <t>Finished value →</t>
        </is>
      </c>
    </row>
    <row r="14">
      <c r="A14" s="22" t="inlineStr">
        <is>
          <t>Cost to complete ↓</t>
        </is>
      </c>
      <c r="B14" s="23" t="n">
        <v>-0.09999999999999998</v>
      </c>
      <c r="C14" s="23" t="n">
        <v>-0.05000000000000004</v>
      </c>
      <c r="D14" s="23" t="n">
        <v>0</v>
      </c>
      <c r="E14" s="23" t="n">
        <v>0.05000000000000004</v>
      </c>
      <c r="F14" s="23" t="n">
        <v>0.1000000000000001</v>
      </c>
    </row>
    <row r="15">
      <c r="A15" s="23" t="n">
        <v>-0.09999999999999998</v>
      </c>
      <c r="B15" s="26">
        <f>((Inputs!$B$4*0.9)-(Inputs!$B$5+Inputs!$B$5*Inputs!$B$6+(Inputs!$B$7*0.9)+(Inputs!$B$7*0.9)*Inputs!$B$8+Inputs!$B$10*Inputs!$B$9+(Inputs!$B$4*0.9)*Inputs!$B$11))/(Inputs!$B$5+Inputs!$B$5*Inputs!$B$6+(Inputs!$B$7*0.9)+(Inputs!$B$7*0.9)*Inputs!$B$8+Inputs!$B$10*Inputs!$B$9+(Inputs!$B$4*0.9)*Inputs!$B$11)</f>
        <v/>
      </c>
      <c r="C15" s="26">
        <f>((Inputs!$B$4*0.95)-(Inputs!$B$5+Inputs!$B$5*Inputs!$B$6+(Inputs!$B$7*0.9)+(Inputs!$B$7*0.9)*Inputs!$B$8+Inputs!$B$10*Inputs!$B$9+(Inputs!$B$4*0.95)*Inputs!$B$11))/(Inputs!$B$5+Inputs!$B$5*Inputs!$B$6+(Inputs!$B$7*0.9)+(Inputs!$B$7*0.9)*Inputs!$B$8+Inputs!$B$10*Inputs!$B$9+(Inputs!$B$4*0.95)*Inputs!$B$11)</f>
        <v/>
      </c>
      <c r="D15" s="26">
        <f>((Inputs!$B$4*1.0)-(Inputs!$B$5+Inputs!$B$5*Inputs!$B$6+(Inputs!$B$7*0.9)+(Inputs!$B$7*0.9)*Inputs!$B$8+Inputs!$B$10*Inputs!$B$9+(Inputs!$B$4*1.0)*Inputs!$B$11))/(Inputs!$B$5+Inputs!$B$5*Inputs!$B$6+(Inputs!$B$7*0.9)+(Inputs!$B$7*0.9)*Inputs!$B$8+Inputs!$B$10*Inputs!$B$9+(Inputs!$B$4*1.0)*Inputs!$B$11)</f>
        <v/>
      </c>
      <c r="E15" s="26">
        <f>((Inputs!$B$4*1.05)-(Inputs!$B$5+Inputs!$B$5*Inputs!$B$6+(Inputs!$B$7*0.9)+(Inputs!$B$7*0.9)*Inputs!$B$8+Inputs!$B$10*Inputs!$B$9+(Inputs!$B$4*1.05)*Inputs!$B$11))/(Inputs!$B$5+Inputs!$B$5*Inputs!$B$6+(Inputs!$B$7*0.9)+(Inputs!$B$7*0.9)*Inputs!$B$8+Inputs!$B$10*Inputs!$B$9+(Inputs!$B$4*1.05)*Inputs!$B$11)</f>
        <v/>
      </c>
      <c r="F15" s="26">
        <f>((Inputs!$B$4*1.1)-(Inputs!$B$5+Inputs!$B$5*Inputs!$B$6+(Inputs!$B$7*0.9)+(Inputs!$B$7*0.9)*Inputs!$B$8+Inputs!$B$10*Inputs!$B$9+(Inputs!$B$4*1.1)*Inputs!$B$11))/(Inputs!$B$5+Inputs!$B$5*Inputs!$B$6+(Inputs!$B$7*0.9)+(Inputs!$B$7*0.9)*Inputs!$B$8+Inputs!$B$10*Inputs!$B$9+(Inputs!$B$4*1.1)*Inputs!$B$11)</f>
        <v/>
      </c>
    </row>
    <row r="16">
      <c r="A16" s="23" t="n">
        <v>0</v>
      </c>
      <c r="B16" s="26">
        <f>((Inputs!$B$4*0.9)-(Inputs!$B$5+Inputs!$B$5*Inputs!$B$6+(Inputs!$B$7*1.0)+(Inputs!$B$7*1.0)*Inputs!$B$8+Inputs!$B$10*Inputs!$B$9+(Inputs!$B$4*0.9)*Inputs!$B$11))/(Inputs!$B$5+Inputs!$B$5*Inputs!$B$6+(Inputs!$B$7*1.0)+(Inputs!$B$7*1.0)*Inputs!$B$8+Inputs!$B$10*Inputs!$B$9+(Inputs!$B$4*0.9)*Inputs!$B$11)</f>
        <v/>
      </c>
      <c r="C16" s="26">
        <f>((Inputs!$B$4*0.95)-(Inputs!$B$5+Inputs!$B$5*Inputs!$B$6+(Inputs!$B$7*1.0)+(Inputs!$B$7*1.0)*Inputs!$B$8+Inputs!$B$10*Inputs!$B$9+(Inputs!$B$4*0.95)*Inputs!$B$11))/(Inputs!$B$5+Inputs!$B$5*Inputs!$B$6+(Inputs!$B$7*1.0)+(Inputs!$B$7*1.0)*Inputs!$B$8+Inputs!$B$10*Inputs!$B$9+(Inputs!$B$4*0.95)*Inputs!$B$11)</f>
        <v/>
      </c>
      <c r="D16" s="27">
        <f>((Inputs!$B$4*1.0)-(Inputs!$B$5+Inputs!$B$5*Inputs!$B$6+(Inputs!$B$7*1.0)+(Inputs!$B$7*1.0)*Inputs!$B$8+Inputs!$B$10*Inputs!$B$9+(Inputs!$B$4*1.0)*Inputs!$B$11))/(Inputs!$B$5+Inputs!$B$5*Inputs!$B$6+(Inputs!$B$7*1.0)+(Inputs!$B$7*1.0)*Inputs!$B$8+Inputs!$B$10*Inputs!$B$9+(Inputs!$B$4*1.0)*Inputs!$B$11)</f>
        <v/>
      </c>
      <c r="E16" s="26">
        <f>((Inputs!$B$4*1.05)-(Inputs!$B$5+Inputs!$B$5*Inputs!$B$6+(Inputs!$B$7*1.0)+(Inputs!$B$7*1.0)*Inputs!$B$8+Inputs!$B$10*Inputs!$B$9+(Inputs!$B$4*1.05)*Inputs!$B$11))/(Inputs!$B$5+Inputs!$B$5*Inputs!$B$6+(Inputs!$B$7*1.0)+(Inputs!$B$7*1.0)*Inputs!$B$8+Inputs!$B$10*Inputs!$B$9+(Inputs!$B$4*1.05)*Inputs!$B$11)</f>
        <v/>
      </c>
      <c r="F16" s="26">
        <f>((Inputs!$B$4*1.1)-(Inputs!$B$5+Inputs!$B$5*Inputs!$B$6+(Inputs!$B$7*1.0)+(Inputs!$B$7*1.0)*Inputs!$B$8+Inputs!$B$10*Inputs!$B$9+(Inputs!$B$4*1.1)*Inputs!$B$11))/(Inputs!$B$5+Inputs!$B$5*Inputs!$B$6+(Inputs!$B$7*1.0)+(Inputs!$B$7*1.0)*Inputs!$B$8+Inputs!$B$10*Inputs!$B$9+(Inputs!$B$4*1.1)*Inputs!$B$11)</f>
        <v/>
      </c>
    </row>
    <row r="17">
      <c r="A17" s="23" t="n">
        <v>0.1000000000000001</v>
      </c>
      <c r="B17" s="26">
        <f>((Inputs!$B$4*0.9)-(Inputs!$B$5+Inputs!$B$5*Inputs!$B$6+(Inputs!$B$7*1.1)+(Inputs!$B$7*1.1)*Inputs!$B$8+Inputs!$B$10*Inputs!$B$9+(Inputs!$B$4*0.9)*Inputs!$B$11))/(Inputs!$B$5+Inputs!$B$5*Inputs!$B$6+(Inputs!$B$7*1.1)+(Inputs!$B$7*1.1)*Inputs!$B$8+Inputs!$B$10*Inputs!$B$9+(Inputs!$B$4*0.9)*Inputs!$B$11)</f>
        <v/>
      </c>
      <c r="C17" s="26">
        <f>((Inputs!$B$4*0.95)-(Inputs!$B$5+Inputs!$B$5*Inputs!$B$6+(Inputs!$B$7*1.1)+(Inputs!$B$7*1.1)*Inputs!$B$8+Inputs!$B$10*Inputs!$B$9+(Inputs!$B$4*0.95)*Inputs!$B$11))/(Inputs!$B$5+Inputs!$B$5*Inputs!$B$6+(Inputs!$B$7*1.1)+(Inputs!$B$7*1.1)*Inputs!$B$8+Inputs!$B$10*Inputs!$B$9+(Inputs!$B$4*0.95)*Inputs!$B$11)</f>
        <v/>
      </c>
      <c r="D17" s="26">
        <f>((Inputs!$B$4*1.0)-(Inputs!$B$5+Inputs!$B$5*Inputs!$B$6+(Inputs!$B$7*1.1)+(Inputs!$B$7*1.1)*Inputs!$B$8+Inputs!$B$10*Inputs!$B$9+(Inputs!$B$4*1.0)*Inputs!$B$11))/(Inputs!$B$5+Inputs!$B$5*Inputs!$B$6+(Inputs!$B$7*1.1)+(Inputs!$B$7*1.1)*Inputs!$B$8+Inputs!$B$10*Inputs!$B$9+(Inputs!$B$4*1.0)*Inputs!$B$11)</f>
        <v/>
      </c>
      <c r="E17" s="26">
        <f>((Inputs!$B$4*1.05)-(Inputs!$B$5+Inputs!$B$5*Inputs!$B$6+(Inputs!$B$7*1.1)+(Inputs!$B$7*1.1)*Inputs!$B$8+Inputs!$B$10*Inputs!$B$9+(Inputs!$B$4*1.05)*Inputs!$B$11))/(Inputs!$B$5+Inputs!$B$5*Inputs!$B$6+(Inputs!$B$7*1.1)+(Inputs!$B$7*1.1)*Inputs!$B$8+Inputs!$B$10*Inputs!$B$9+(Inputs!$B$4*1.05)*Inputs!$B$11)</f>
        <v/>
      </c>
      <c r="F17" s="26">
        <f>((Inputs!$B$4*1.1)-(Inputs!$B$5+Inputs!$B$5*Inputs!$B$6+(Inputs!$B$7*1.1)+(Inputs!$B$7*1.1)*Inputs!$B$8+Inputs!$B$10*Inputs!$B$9+(Inputs!$B$4*1.1)*Inputs!$B$11))/(Inputs!$B$5+Inputs!$B$5*Inputs!$B$6+(Inputs!$B$7*1.1)+(Inputs!$B$7*1.1)*Inputs!$B$8+Inputs!$B$10*Inputs!$B$9+(Inputs!$B$4*1.1)*Inputs!$B$11)</f>
        <v/>
      </c>
    </row>
    <row r="18">
      <c r="A18" s="23" t="n">
        <v>0.2</v>
      </c>
      <c r="B18" s="26">
        <f>((Inputs!$B$4*0.9)-(Inputs!$B$5+Inputs!$B$5*Inputs!$B$6+(Inputs!$B$7*1.2)+(Inputs!$B$7*1.2)*Inputs!$B$8+Inputs!$B$10*Inputs!$B$9+(Inputs!$B$4*0.9)*Inputs!$B$11))/(Inputs!$B$5+Inputs!$B$5*Inputs!$B$6+(Inputs!$B$7*1.2)+(Inputs!$B$7*1.2)*Inputs!$B$8+Inputs!$B$10*Inputs!$B$9+(Inputs!$B$4*0.9)*Inputs!$B$11)</f>
        <v/>
      </c>
      <c r="C18" s="26">
        <f>((Inputs!$B$4*0.95)-(Inputs!$B$5+Inputs!$B$5*Inputs!$B$6+(Inputs!$B$7*1.2)+(Inputs!$B$7*1.2)*Inputs!$B$8+Inputs!$B$10*Inputs!$B$9+(Inputs!$B$4*0.95)*Inputs!$B$11))/(Inputs!$B$5+Inputs!$B$5*Inputs!$B$6+(Inputs!$B$7*1.2)+(Inputs!$B$7*1.2)*Inputs!$B$8+Inputs!$B$10*Inputs!$B$9+(Inputs!$B$4*0.95)*Inputs!$B$11)</f>
        <v/>
      </c>
      <c r="D18" s="26">
        <f>((Inputs!$B$4*1.0)-(Inputs!$B$5+Inputs!$B$5*Inputs!$B$6+(Inputs!$B$7*1.2)+(Inputs!$B$7*1.2)*Inputs!$B$8+Inputs!$B$10*Inputs!$B$9+(Inputs!$B$4*1.0)*Inputs!$B$11))/(Inputs!$B$5+Inputs!$B$5*Inputs!$B$6+(Inputs!$B$7*1.2)+(Inputs!$B$7*1.2)*Inputs!$B$8+Inputs!$B$10*Inputs!$B$9+(Inputs!$B$4*1.0)*Inputs!$B$11)</f>
        <v/>
      </c>
      <c r="E18" s="26">
        <f>((Inputs!$B$4*1.05)-(Inputs!$B$5+Inputs!$B$5*Inputs!$B$6+(Inputs!$B$7*1.2)+(Inputs!$B$7*1.2)*Inputs!$B$8+Inputs!$B$10*Inputs!$B$9+(Inputs!$B$4*1.05)*Inputs!$B$11))/(Inputs!$B$5+Inputs!$B$5*Inputs!$B$6+(Inputs!$B$7*1.2)+(Inputs!$B$7*1.2)*Inputs!$B$8+Inputs!$B$10*Inputs!$B$9+(Inputs!$B$4*1.05)*Inputs!$B$11)</f>
        <v/>
      </c>
      <c r="F18" s="26">
        <f>((Inputs!$B$4*1.1)-(Inputs!$B$5+Inputs!$B$5*Inputs!$B$6+(Inputs!$B$7*1.2)+(Inputs!$B$7*1.2)*Inputs!$B$8+Inputs!$B$10*Inputs!$B$9+(Inputs!$B$4*1.1)*Inputs!$B$11))/(Inputs!$B$5+Inputs!$B$5*Inputs!$B$6+(Inputs!$B$7*1.2)+(Inputs!$B$7*1.2)*Inputs!$B$8+Inputs!$B$10*Inputs!$B$9+(Inputs!$B$4*1.1)*Inputs!$B$11)</f>
        <v/>
      </c>
    </row>
    <row r="20">
      <c r="A20" s="6" t="inlineStr">
        <is>
          <t>Gold cell = base case. Confirm the downside corner (−10% value / +20% cost) does not destroy the spread.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2026-06-23T12:37:40Z</dcterms:created>
  <dcterms:modified xsi:type="dcterms:W3CDTF">2026-06-23T12:37:40Z</dcterms:modified>
</cp:coreProperties>
</file>